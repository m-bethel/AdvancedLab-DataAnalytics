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es\BYU-Idaho\11th Semester\336 Advanced Lab\W07\"/>
    </mc:Choice>
  </mc:AlternateContent>
  <xr:revisionPtr revIDLastSave="0" documentId="8_{E19FCE16-9EA0-4C0D-988D-6667BA18094E}" xr6:coauthVersionLast="47" xr6:coauthVersionMax="47" xr10:uidLastSave="{00000000-0000-0000-0000-000000000000}"/>
  <bookViews>
    <workbookView xWindow="11424" yWindow="0" windowWidth="11712" windowHeight="12336" xr2:uid="{BB4C7393-2D2C-46A2-A654-F564CD7230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C3" i="1"/>
  <c r="D3" i="1" s="1"/>
  <c r="E3" i="1" s="1"/>
  <c r="C4" i="1"/>
  <c r="D4" i="1" s="1"/>
  <c r="E4" i="1" s="1"/>
  <c r="C5" i="1"/>
  <c r="D5" i="1" s="1"/>
  <c r="E5" i="1" s="1"/>
  <c r="C6" i="1"/>
  <c r="D6" i="1" s="1"/>
  <c r="E6" i="1" s="1"/>
  <c r="H4" i="1"/>
  <c r="H3" i="1"/>
  <c r="C2" i="1" s="1"/>
  <c r="D2" i="1" s="1"/>
  <c r="E2" i="1" s="1"/>
  <c r="H2" i="1"/>
</calcChain>
</file>

<file path=xl/sharedStrings.xml><?xml version="1.0" encoding="utf-8"?>
<sst xmlns="http://schemas.openxmlformats.org/spreadsheetml/2006/main" count="3" uniqueCount="3">
  <si>
    <t>X</t>
  </si>
  <si>
    <t>Y</t>
  </si>
  <si>
    <t>Chi^2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</si>
</sst>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EC58D-BF2C-4FE1-9882-58A22529E455}">
  <dimension ref="A1:H6"/>
  <sheetViews>
    <sheetView tabSelected="1" workbookViewId="0">
      <selection activeCell="I9" sqref="I9"/>
    </sheetView>
  </sheetViews>
  <sheetFormatPr defaultRowHeight="14.4"/>
  <sheetData>
    <row r="1" spans="1:8">
      <c r="A1" t="s">
        <v>0</v>
      </c>
      <c r="B1" t="s">
        <v>1</v>
      </c>
    </row>
    <row r="2" spans="1:8">
      <c r="A2">
        <v>1</v>
      </c>
      <c r="B2">
        <v>2.8</v>
      </c>
      <c r="C2" s="1">
        <f>$H$2*A2+$H$3</f>
        <v>2.8199999999999985</v>
      </c>
      <c r="D2" s="1">
        <f>(B2-C2)</f>
        <v>-1.9999999999998685E-2</v>
      </c>
      <c r="E2">
        <f>(D2^2)/(0.2^2)</f>
        <v>9.9999999999986836E-3</v>
      </c>
      <c r="H2">
        <f>SLOPE(B2:B6, A2:A6)</f>
        <v>2.0700000000000003</v>
      </c>
    </row>
    <row r="3" spans="1:8">
      <c r="A3">
        <v>2</v>
      </c>
      <c r="B3">
        <v>4.7</v>
      </c>
      <c r="C3" s="1">
        <f t="shared" ref="C3:C6" si="0">$H$2*A3+$H$3</f>
        <v>4.8899999999999988</v>
      </c>
      <c r="D3" s="1">
        <f t="shared" ref="D3:D6" si="1">(B3-C3)</f>
        <v>-0.18999999999999861</v>
      </c>
      <c r="E3">
        <f t="shared" ref="E3:E6" si="2">(D3^2)/(0.2^2)</f>
        <v>0.90249999999998665</v>
      </c>
      <c r="H3">
        <f>INTERCEPT(B2:B6, A2:A6)</f>
        <v>0.74999999999999822</v>
      </c>
    </row>
    <row r="4" spans="1:8">
      <c r="A4">
        <v>3</v>
      </c>
      <c r="B4">
        <v>7.1</v>
      </c>
      <c r="C4" s="1">
        <f t="shared" si="0"/>
        <v>6.9599999999999991</v>
      </c>
      <c r="D4" s="1">
        <f t="shared" si="1"/>
        <v>0.14000000000000057</v>
      </c>
      <c r="E4">
        <f t="shared" si="2"/>
        <v>0.49000000000000388</v>
      </c>
      <c r="H4">
        <f>STEYX(B2:B6, A2:A6)/SQRT(DEVSQ(A2:A6))</f>
        <v>9.7125348562222102E-2</v>
      </c>
    </row>
    <row r="5" spans="1:8">
      <c r="A5">
        <v>4</v>
      </c>
      <c r="B5">
        <v>9.4</v>
      </c>
      <c r="C5" s="1">
        <f t="shared" si="0"/>
        <v>9.0299999999999994</v>
      </c>
      <c r="D5" s="1">
        <f t="shared" si="1"/>
        <v>0.37000000000000099</v>
      </c>
      <c r="E5">
        <f t="shared" si="2"/>
        <v>3.4225000000000181</v>
      </c>
      <c r="H5" t="s">
        <v>2</v>
      </c>
    </row>
    <row r="6" spans="1:8">
      <c r="A6">
        <v>5</v>
      </c>
      <c r="B6">
        <v>10.8</v>
      </c>
      <c r="C6" s="1">
        <f t="shared" si="0"/>
        <v>11.1</v>
      </c>
      <c r="D6" s="1">
        <f t="shared" si="1"/>
        <v>-0.29999999999999893</v>
      </c>
      <c r="E6">
        <f t="shared" si="2"/>
        <v>2.2499999999999836</v>
      </c>
      <c r="H6">
        <f>SUM(E2:E6)</f>
        <v>7.0749999999999904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Bethel, Miles</dc:creator>
  <cp:lastModifiedBy>Bethel, Miles</cp:lastModifiedBy>
  <dcterms:created xsi:type="dcterms:W3CDTF">2026-02-24T23:14:56Z</dcterms:created>
  <dcterms:modified xsi:type="dcterms:W3CDTF">2026-02-26T02:57:17Z</dcterms:modified>
</cp:coreProperties>
</file>